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150\eda\designs\TinyWhisper\ihp130\doc\IHP-PDK\"/>
    </mc:Choice>
  </mc:AlternateContent>
  <xr:revisionPtr revIDLastSave="0" documentId="13_ncr:1_{3EEA0C4D-FD8E-40AD-A5AB-0FE931A9FDED}" xr6:coauthVersionLast="47" xr6:coauthVersionMax="47" xr10:uidLastSave="{00000000-0000-0000-0000-000000000000}"/>
  <bookViews>
    <workbookView xWindow="-120" yWindow="-120" windowWidth="29040" windowHeight="15720" xr2:uid="{09A7A6F9-EBCF-4463-A1A1-35AC72E937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F18" i="1"/>
  <c r="B8" i="1"/>
  <c r="F14" i="1"/>
  <c r="F13" i="1"/>
  <c r="G8" i="1"/>
  <c r="F17" i="1"/>
  <c r="D8" i="1"/>
  <c r="C8" i="1"/>
  <c r="E8" i="1"/>
  <c r="F20" i="1"/>
  <c r="F19" i="1"/>
  <c r="B20" i="1"/>
  <c r="B19" i="1"/>
  <c r="B18" i="1"/>
  <c r="G14" i="1"/>
  <c r="G13" i="1"/>
  <c r="G10" i="1"/>
  <c r="G11" i="1"/>
  <c r="G12" i="1"/>
  <c r="G9" i="1"/>
  <c r="E10" i="1"/>
  <c r="E11" i="1"/>
  <c r="E12" i="1"/>
  <c r="E13" i="1"/>
  <c r="E14" i="1"/>
  <c r="E9" i="1"/>
  <c r="D9" i="1" l="1"/>
  <c r="D10" i="1"/>
  <c r="D11" i="1"/>
  <c r="D12" i="1"/>
  <c r="D13" i="1"/>
  <c r="D14" i="1"/>
  <c r="C9" i="1"/>
  <c r="C10" i="1"/>
  <c r="C11" i="1"/>
  <c r="C12" i="1"/>
  <c r="C13" i="1"/>
  <c r="C14" i="1"/>
  <c r="E24" i="1"/>
  <c r="F24" i="1" s="1"/>
  <c r="E25" i="1"/>
  <c r="F25" i="1" s="1"/>
  <c r="E26" i="1"/>
  <c r="B11" i="1" s="1"/>
  <c r="E27" i="1"/>
  <c r="F27" i="1" s="1"/>
  <c r="E28" i="1"/>
  <c r="F28" i="1" s="1"/>
  <c r="E29" i="1"/>
  <c r="F29" i="1" s="1"/>
  <c r="E23" i="1"/>
  <c r="F23" i="1" s="1"/>
  <c r="B10" i="1" l="1"/>
  <c r="B9" i="1"/>
  <c r="F26" i="1"/>
  <c r="B14" i="1"/>
  <c r="B13" i="1"/>
  <c r="B12" i="1"/>
</calcChain>
</file>

<file path=xl/sharedStrings.xml><?xml version="1.0" encoding="utf-8"?>
<sst xmlns="http://schemas.openxmlformats.org/spreadsheetml/2006/main" count="45" uniqueCount="30">
  <si>
    <t>M1</t>
  </si>
  <si>
    <t>M2</t>
  </si>
  <si>
    <t>M3</t>
  </si>
  <si>
    <t>M4</t>
  </si>
  <si>
    <t>M5</t>
  </si>
  <si>
    <t>TM1</t>
  </si>
  <si>
    <t>TM2</t>
  </si>
  <si>
    <t>Contact</t>
  </si>
  <si>
    <t>TV1</t>
  </si>
  <si>
    <t>TV2</t>
  </si>
  <si>
    <t>Thickness (um)</t>
  </si>
  <si>
    <t>Conductivity (um2/um)</t>
  </si>
  <si>
    <t>Rsquare (Ohm/um)</t>
  </si>
  <si>
    <t>Resistance (Ohm)</t>
  </si>
  <si>
    <t>Heigth-to-Sub (um)</t>
  </si>
  <si>
    <t>max. 5fF per Node!</t>
  </si>
  <si>
    <t>Via 1/2/3/4</t>
  </si>
  <si>
    <t>Distance-SideM (um):</t>
  </si>
  <si>
    <t>min. Width (um)</t>
  </si>
  <si>
    <t>Metal Width (um):</t>
  </si>
  <si>
    <t>Metal Length (um):</t>
  </si>
  <si>
    <t>Nr of Vias:</t>
  </si>
  <si>
    <t>Layer</t>
  </si>
  <si>
    <t>User Input:</t>
  </si>
  <si>
    <t>Cap. Sub (fF)</t>
  </si>
  <si>
    <t>Cap. Side (fF)</t>
  </si>
  <si>
    <t>Cap. Down (fF)</t>
  </si>
  <si>
    <t>max. I (mA)</t>
  </si>
  <si>
    <t>max. I @ W&lt;0.3um (mA)</t>
  </si>
  <si>
    <t>max. I @ W&gt;0.3um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</si>
</sst>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080B-F51D-4714-96E6-E6980076DDA4}">
  <dimension ref="A1:G29"/>
  <sheetViews>
    <sheetView tabSelected="1" workbookViewId="0">
      <selection activeCell="G31" sqref="G31"/>
    </sheetView>
  </sheetViews>
  <sheetFormatPr defaultColWidth="11.5703125" defaultRowHeight="15" x14ac:dyDescent="0.25"/>
  <cols>
    <col min="1" max="1" width="21.85546875" customWidth="1"/>
    <col min="2" max="3" width="19" customWidth="1"/>
    <col min="4" max="4" width="21.7109375" customWidth="1"/>
    <col min="5" max="5" width="27.140625" customWidth="1"/>
    <col min="6" max="6" width="24" customWidth="1"/>
    <col min="7" max="7" width="23.42578125" customWidth="1"/>
    <col min="8" max="8" width="11.5703125" customWidth="1"/>
    <col min="9" max="9" width="12.85546875" bestFit="1" customWidth="1"/>
    <col min="10" max="11" width="18.85546875" bestFit="1" customWidth="1"/>
    <col min="12" max="12" width="10.5703125" bestFit="1" customWidth="1"/>
    <col min="13" max="13" width="11" bestFit="1" customWidth="1"/>
    <col min="14" max="14" width="12.42578125" bestFit="1" customWidth="1"/>
    <col min="15" max="16" width="18.140625" bestFit="1" customWidth="1"/>
  </cols>
  <sheetData>
    <row r="1" spans="1:7" x14ac:dyDescent="0.25">
      <c r="A1" s="3"/>
      <c r="B1" s="2" t="s">
        <v>23</v>
      </c>
    </row>
    <row r="2" spans="1:7" x14ac:dyDescent="0.25">
      <c r="A2" s="1" t="s">
        <v>19</v>
      </c>
      <c r="B2" s="3">
        <v>1</v>
      </c>
      <c r="E2" t="s">
        <v>15</v>
      </c>
    </row>
    <row r="3" spans="1:7" x14ac:dyDescent="0.25">
      <c r="A3" s="1" t="s">
        <v>20</v>
      </c>
      <c r="B3" s="3">
        <v>10</v>
      </c>
    </row>
    <row r="4" spans="1:7" x14ac:dyDescent="0.25">
      <c r="A4" s="1" t="s">
        <v>17</v>
      </c>
      <c r="B4" s="3">
        <v>0.18</v>
      </c>
    </row>
    <row r="5" spans="1:7" x14ac:dyDescent="0.25">
      <c r="A5" s="1" t="s">
        <v>21</v>
      </c>
      <c r="B5" s="3">
        <v>2</v>
      </c>
    </row>
    <row r="7" spans="1:7" x14ac:dyDescent="0.25">
      <c r="A7" s="2" t="s">
        <v>22</v>
      </c>
      <c r="B7" s="2" t="s">
        <v>13</v>
      </c>
      <c r="C7" s="2" t="s">
        <v>24</v>
      </c>
      <c r="D7" s="2" t="s">
        <v>25</v>
      </c>
      <c r="E7" s="2" t="s">
        <v>26</v>
      </c>
      <c r="F7" s="2" t="s">
        <v>28</v>
      </c>
      <c r="G7" s="2" t="s">
        <v>29</v>
      </c>
    </row>
    <row r="8" spans="1:7" x14ac:dyDescent="0.25">
      <c r="A8" s="4" t="s">
        <v>0</v>
      </c>
      <c r="B8" s="5">
        <f t="shared" ref="B8:B14" si="0">$E23*$B$3/($B$2*$B23)</f>
        <v>0.6428571428571429</v>
      </c>
      <c r="C8" s="5">
        <f t="shared" ref="C8:C14" si="1">$B$2*0.000001*$B$3/$D23*3.9*0.000000000008854*1000000000000000</f>
        <v>0.53954062499999977</v>
      </c>
      <c r="D8" s="5">
        <f t="shared" ref="D8:D14" si="2">$B23*0.000001*$B$3/$B$4*3.9*0.000000000008854*1000000000000000</f>
        <v>0.80571399999999982</v>
      </c>
      <c r="E8" s="5">
        <f>$B$2*0.000001*$B$3/$D$23*3.9*0.000000000008854*1000000000000000</f>
        <v>0.53954062499999977</v>
      </c>
      <c r="F8" s="5">
        <v>0.36</v>
      </c>
      <c r="G8" s="5">
        <f>1*$B$2</f>
        <v>1</v>
      </c>
    </row>
    <row r="9" spans="1:7" x14ac:dyDescent="0.25">
      <c r="A9" s="4" t="s">
        <v>1</v>
      </c>
      <c r="B9" s="5">
        <f t="shared" si="0"/>
        <v>0.55102040816326536</v>
      </c>
      <c r="C9" s="5">
        <f t="shared" si="1"/>
        <v>0.21581624999999993</v>
      </c>
      <c r="D9" s="5">
        <f t="shared" si="2"/>
        <v>0.93999966666666657</v>
      </c>
      <c r="E9" s="5">
        <f t="shared" ref="E9:E14" si="3">$B$2*0.000001*$B$3/($D24-$D23)*3.9*0.000000000008854*1000000000000000</f>
        <v>0.35969374999999992</v>
      </c>
      <c r="F9" s="5">
        <v>0.6</v>
      </c>
      <c r="G9" s="5">
        <f>2*$B$2</f>
        <v>2</v>
      </c>
    </row>
    <row r="10" spans="1:7" x14ac:dyDescent="0.25">
      <c r="A10" s="4" t="s">
        <v>2</v>
      </c>
      <c r="B10" s="5">
        <f t="shared" si="0"/>
        <v>0.55102040816326536</v>
      </c>
      <c r="C10" s="5">
        <f t="shared" si="1"/>
        <v>0.13129505703422051</v>
      </c>
      <c r="D10" s="5">
        <f t="shared" si="2"/>
        <v>0.93999966666666657</v>
      </c>
      <c r="E10" s="5">
        <f t="shared" si="3"/>
        <v>0.33524854368932039</v>
      </c>
      <c r="F10" s="5">
        <v>0.6</v>
      </c>
      <c r="G10" s="5">
        <f>2*$B$2</f>
        <v>2</v>
      </c>
    </row>
    <row r="11" spans="1:7" x14ac:dyDescent="0.25">
      <c r="A11" s="4" t="s">
        <v>3</v>
      </c>
      <c r="B11" s="5">
        <f t="shared" si="0"/>
        <v>0.55102040816326536</v>
      </c>
      <c r="C11" s="5">
        <f t="shared" si="1"/>
        <v>9.4345901639344254E-2</v>
      </c>
      <c r="D11" s="5">
        <f t="shared" si="2"/>
        <v>0.93999966666666657</v>
      </c>
      <c r="E11" s="5">
        <f t="shared" si="3"/>
        <v>0.33524854368932017</v>
      </c>
      <c r="F11" s="5">
        <v>0.6</v>
      </c>
      <c r="G11" s="5">
        <f>2*$B$2</f>
        <v>2</v>
      </c>
    </row>
    <row r="12" spans="1:7" x14ac:dyDescent="0.25">
      <c r="A12" s="4" t="s">
        <v>4</v>
      </c>
      <c r="B12" s="5">
        <f t="shared" si="0"/>
        <v>0.55102040816326536</v>
      </c>
      <c r="C12" s="5">
        <f t="shared" si="1"/>
        <v>7.3626012793176959E-2</v>
      </c>
      <c r="D12" s="5">
        <f t="shared" si="2"/>
        <v>0.93999966666666657</v>
      </c>
      <c r="E12" s="5">
        <f t="shared" si="3"/>
        <v>0.33524854368932017</v>
      </c>
      <c r="F12" s="5">
        <v>0.6</v>
      </c>
      <c r="G12" s="5">
        <f>2*$B$2</f>
        <v>2</v>
      </c>
    </row>
    <row r="13" spans="1:7" x14ac:dyDescent="0.25">
      <c r="A13" s="4" t="s">
        <v>5</v>
      </c>
      <c r="B13" s="5">
        <f t="shared" si="0"/>
        <v>0.13500000000000001</v>
      </c>
      <c r="C13" s="5">
        <f t="shared" si="1"/>
        <v>5.7264676616915401E-2</v>
      </c>
      <c r="D13" s="5">
        <f t="shared" si="2"/>
        <v>3.8367333333333331</v>
      </c>
      <c r="E13" s="5">
        <f t="shared" si="3"/>
        <v>0.25769104477611937</v>
      </c>
      <c r="F13" s="5">
        <f>15*$B$2</f>
        <v>15</v>
      </c>
      <c r="G13" s="5">
        <f>15*$B$2</f>
        <v>15</v>
      </c>
    </row>
    <row r="14" spans="1:7" x14ac:dyDescent="0.25">
      <c r="A14" s="4" t="s">
        <v>6</v>
      </c>
      <c r="B14" s="5">
        <f t="shared" si="0"/>
        <v>9.0000000000000011E-2</v>
      </c>
      <c r="C14" s="5">
        <f t="shared" si="1"/>
        <v>3.1884210526315779E-2</v>
      </c>
      <c r="D14" s="5">
        <f t="shared" si="2"/>
        <v>5.7550999999999997</v>
      </c>
      <c r="E14" s="5">
        <f t="shared" si="3"/>
        <v>7.193875000000001E-2</v>
      </c>
      <c r="F14" s="5">
        <f>16*$B$2</f>
        <v>16</v>
      </c>
      <c r="G14" s="5">
        <f>16*$B$2</f>
        <v>16</v>
      </c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2" t="s">
        <v>22</v>
      </c>
      <c r="B16" s="2" t="s">
        <v>13</v>
      </c>
      <c r="C16" s="6"/>
      <c r="D16" s="6"/>
      <c r="E16" s="2" t="s">
        <v>22</v>
      </c>
      <c r="F16" s="2" t="s">
        <v>27</v>
      </c>
      <c r="G16" s="6"/>
    </row>
    <row r="17" spans="1:7" x14ac:dyDescent="0.25">
      <c r="A17" s="7" t="s">
        <v>7</v>
      </c>
      <c r="B17" s="5">
        <f>15/$B$5</f>
        <v>7.5</v>
      </c>
      <c r="C17" s="6"/>
      <c r="D17" s="6"/>
      <c r="E17" s="7" t="s">
        <v>7</v>
      </c>
      <c r="F17" s="5">
        <f>0.3*$B$5</f>
        <v>0.6</v>
      </c>
      <c r="G17" s="6"/>
    </row>
    <row r="18" spans="1:7" x14ac:dyDescent="0.25">
      <c r="A18" s="7" t="s">
        <v>16</v>
      </c>
      <c r="B18" s="5">
        <f>9/$B$5</f>
        <v>4.5</v>
      </c>
      <c r="C18" s="6"/>
      <c r="D18" s="6"/>
      <c r="E18" s="7" t="s">
        <v>16</v>
      </c>
      <c r="F18" s="5">
        <f>0.4*$B$5</f>
        <v>0.8</v>
      </c>
      <c r="G18" s="6"/>
    </row>
    <row r="19" spans="1:7" x14ac:dyDescent="0.25">
      <c r="A19" s="7" t="s">
        <v>8</v>
      </c>
      <c r="B19" s="5">
        <f>2.2/$B$5</f>
        <v>1.1000000000000001</v>
      </c>
      <c r="C19" s="6"/>
      <c r="D19" s="6"/>
      <c r="E19" s="7" t="s">
        <v>8</v>
      </c>
      <c r="F19" s="5">
        <f>1.4*$B$5</f>
        <v>2.8</v>
      </c>
      <c r="G19" s="6"/>
    </row>
    <row r="20" spans="1:7" x14ac:dyDescent="0.25">
      <c r="A20" s="7" t="s">
        <v>9</v>
      </c>
      <c r="B20" s="5">
        <f>1.1/$B$5</f>
        <v>0.55000000000000004</v>
      </c>
      <c r="C20" s="6"/>
      <c r="D20" s="6"/>
      <c r="E20" s="7" t="s">
        <v>9</v>
      </c>
      <c r="F20" s="5">
        <f>10*$B$5</f>
        <v>20</v>
      </c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2" t="s">
        <v>22</v>
      </c>
      <c r="B22" s="2" t="s">
        <v>10</v>
      </c>
      <c r="C22" s="2" t="s">
        <v>18</v>
      </c>
      <c r="D22" s="2" t="s">
        <v>14</v>
      </c>
      <c r="E22" s="2" t="s">
        <v>11</v>
      </c>
      <c r="F22" s="2" t="s">
        <v>12</v>
      </c>
      <c r="G22" s="6"/>
    </row>
    <row r="23" spans="1:7" x14ac:dyDescent="0.25">
      <c r="A23" s="7" t="s">
        <v>0</v>
      </c>
      <c r="B23" s="8">
        <v>0.42</v>
      </c>
      <c r="C23" s="8">
        <v>0.16</v>
      </c>
      <c r="D23" s="8">
        <v>0.64</v>
      </c>
      <c r="E23" s="8">
        <f>0.000000027*1000000</f>
        <v>2.7E-2</v>
      </c>
      <c r="F23" s="4">
        <f>E23/B23*C23</f>
        <v>1.0285714285714287E-2</v>
      </c>
      <c r="G23" s="6"/>
    </row>
    <row r="24" spans="1:7" x14ac:dyDescent="0.25">
      <c r="A24" s="7" t="s">
        <v>1</v>
      </c>
      <c r="B24" s="8">
        <v>0.49</v>
      </c>
      <c r="C24" s="8">
        <v>0.2</v>
      </c>
      <c r="D24" s="8">
        <v>1.6</v>
      </c>
      <c r="E24" s="8">
        <f t="shared" ref="E24:E29" si="4">0.000000027*1000000</f>
        <v>2.7E-2</v>
      </c>
      <c r="F24" s="4">
        <f t="shared" ref="F24:F29" si="5">E24/B24*C24</f>
        <v>1.1020408163265306E-2</v>
      </c>
      <c r="G24" s="6"/>
    </row>
    <row r="25" spans="1:7" x14ac:dyDescent="0.25">
      <c r="A25" s="7" t="s">
        <v>2</v>
      </c>
      <c r="B25" s="8">
        <v>0.49</v>
      </c>
      <c r="C25" s="8">
        <v>0.2</v>
      </c>
      <c r="D25" s="8">
        <v>2.63</v>
      </c>
      <c r="E25" s="8">
        <f t="shared" si="4"/>
        <v>2.7E-2</v>
      </c>
      <c r="F25" s="4">
        <f t="shared" si="5"/>
        <v>1.1020408163265306E-2</v>
      </c>
      <c r="G25" s="6"/>
    </row>
    <row r="26" spans="1:7" x14ac:dyDescent="0.25">
      <c r="A26" s="7" t="s">
        <v>3</v>
      </c>
      <c r="B26" s="8">
        <v>0.49</v>
      </c>
      <c r="C26" s="8">
        <v>0.2</v>
      </c>
      <c r="D26" s="8">
        <v>3.66</v>
      </c>
      <c r="E26" s="8">
        <f t="shared" si="4"/>
        <v>2.7E-2</v>
      </c>
      <c r="F26" s="4">
        <f t="shared" si="5"/>
        <v>1.1020408163265306E-2</v>
      </c>
      <c r="G26" s="6"/>
    </row>
    <row r="27" spans="1:7" x14ac:dyDescent="0.25">
      <c r="A27" s="7" t="s">
        <v>4</v>
      </c>
      <c r="B27" s="8">
        <v>0.49</v>
      </c>
      <c r="C27" s="8">
        <v>0.2</v>
      </c>
      <c r="D27" s="8">
        <v>4.6900000000000004</v>
      </c>
      <c r="E27" s="8">
        <f t="shared" si="4"/>
        <v>2.7E-2</v>
      </c>
      <c r="F27" s="4">
        <f t="shared" si="5"/>
        <v>1.1020408163265306E-2</v>
      </c>
      <c r="G27" s="6"/>
    </row>
    <row r="28" spans="1:7" x14ac:dyDescent="0.25">
      <c r="A28" s="7" t="s">
        <v>5</v>
      </c>
      <c r="B28" s="8">
        <v>2</v>
      </c>
      <c r="C28" s="8">
        <v>0.42</v>
      </c>
      <c r="D28" s="8">
        <v>6.03</v>
      </c>
      <c r="E28" s="8">
        <f t="shared" si="4"/>
        <v>2.7E-2</v>
      </c>
      <c r="F28" s="4">
        <f t="shared" si="5"/>
        <v>5.6699999999999997E-3</v>
      </c>
      <c r="G28" s="6"/>
    </row>
    <row r="29" spans="1:7" x14ac:dyDescent="0.25">
      <c r="A29" s="7" t="s">
        <v>6</v>
      </c>
      <c r="B29" s="8">
        <v>3</v>
      </c>
      <c r="C29" s="8">
        <v>0.2</v>
      </c>
      <c r="D29" s="8">
        <v>10.83</v>
      </c>
      <c r="E29" s="8">
        <f t="shared" si="4"/>
        <v>2.7E-2</v>
      </c>
      <c r="F29" s="4">
        <f t="shared" si="5"/>
        <v>1.8E-3</v>
      </c>
      <c r="G29" s="6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fath_local</dc:creator>
  <cp:lastModifiedBy>Dorrer Simon</cp:lastModifiedBy>
  <dcterms:created xsi:type="dcterms:W3CDTF">2025-11-05T09:04:22Z</dcterms:created>
  <dcterms:modified xsi:type="dcterms:W3CDTF">2026-02-28T13:43:52Z</dcterms:modified>
</cp:coreProperties>
</file>